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00_ENGITHUB\Modulo02_JavaScript\RocioCordoba\02_ObispoSalguero387_13C\"/>
    </mc:Choice>
  </mc:AlternateContent>
  <xr:revisionPtr revIDLastSave="0" documentId="13_ncr:1_{61CA353E-94C9-436E-A68D-56F91D6469E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1" i="1" l="1"/>
  <c r="F9" i="1"/>
  <c r="G20" i="1"/>
  <c r="G22" i="1" s="1"/>
  <c r="K8" i="1"/>
  <c r="G8" i="1"/>
  <c r="G5" i="1"/>
  <c r="G6" i="1"/>
  <c r="G7" i="1"/>
  <c r="G4" i="1"/>
</calcChain>
</file>

<file path=xl/sharedStrings.xml><?xml version="1.0" encoding="utf-8"?>
<sst xmlns="http://schemas.openxmlformats.org/spreadsheetml/2006/main" count="16" uniqueCount="14">
  <si>
    <t>AÑO</t>
  </si>
  <si>
    <t>MES</t>
  </si>
  <si>
    <t>DEVENGADO</t>
  </si>
  <si>
    <t>PAGADO</t>
  </si>
  <si>
    <t>DIFERENCIA</t>
  </si>
  <si>
    <t>Expensas</t>
  </si>
  <si>
    <t>TOTAL</t>
  </si>
  <si>
    <t>Alquiler</t>
  </si>
  <si>
    <t>Importe</t>
  </si>
  <si>
    <t>Concepto</t>
  </si>
  <si>
    <t>Total</t>
  </si>
  <si>
    <t>Cada uno</t>
  </si>
  <si>
    <t>X</t>
  </si>
  <si>
    <t>AUMENTO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</si>
</sst>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\ #,##0.00"/>
    <numFmt numFmtId="165" formatCode="[$$-2C0A]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3DB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164" fontId="1" fillId="3" borderId="0" xfId="0" applyNumberFormat="1" applyFont="1" applyFill="1"/>
    <xf numFmtId="165" fontId="1" fillId="2" borderId="0" xfId="0" applyNumberFormat="1" applyFont="1" applyFill="1"/>
    <xf numFmtId="165" fontId="0" fillId="0" borderId="0" xfId="0" applyNumberFormat="1"/>
    <xf numFmtId="164" fontId="1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K22"/>
  <sheetViews>
    <sheetView tabSelected="1" zoomScale="115" zoomScaleNormal="115" workbookViewId="0">
      <selection activeCell="F12" sqref="F12"/>
    </sheetView>
  </sheetViews>
  <sheetFormatPr baseColWidth="10" defaultColWidth="9.140625" defaultRowHeight="15" x14ac:dyDescent="0.25"/>
  <cols>
    <col min="2" max="2" width="10.42578125" bestFit="1" customWidth="1"/>
    <col min="3" max="3" width="5.5703125" bestFit="1" customWidth="1"/>
    <col min="4" max="4" width="5" bestFit="1" customWidth="1"/>
    <col min="5" max="5" width="12.7109375" bestFit="1" customWidth="1"/>
    <col min="6" max="7" width="12.7109375" style="1" bestFit="1" customWidth="1"/>
    <col min="9" max="9" width="12.7109375" style="6" bestFit="1" customWidth="1"/>
    <col min="11" max="11" width="12.7109375" bestFit="1" customWidth="1"/>
  </cols>
  <sheetData>
    <row r="3" spans="2:11" x14ac:dyDescent="0.25">
      <c r="B3" s="2" t="s">
        <v>13</v>
      </c>
      <c r="C3" s="2" t="s">
        <v>0</v>
      </c>
      <c r="D3" s="2" t="s">
        <v>1</v>
      </c>
      <c r="E3" s="2" t="s">
        <v>2</v>
      </c>
      <c r="F3" s="3" t="s">
        <v>3</v>
      </c>
      <c r="G3" s="3" t="s">
        <v>4</v>
      </c>
      <c r="H3" s="2"/>
      <c r="I3" s="5" t="s">
        <v>5</v>
      </c>
      <c r="J3" s="2"/>
      <c r="K3" s="2" t="s">
        <v>6</v>
      </c>
    </row>
    <row r="4" spans="2:11" x14ac:dyDescent="0.25">
      <c r="C4">
        <v>2026</v>
      </c>
      <c r="D4">
        <v>2</v>
      </c>
      <c r="E4" s="1">
        <v>700000</v>
      </c>
      <c r="F4" s="1">
        <v>700000</v>
      </c>
      <c r="G4" s="1">
        <f>+E4-F4</f>
        <v>0</v>
      </c>
    </row>
    <row r="5" spans="2:11" x14ac:dyDescent="0.25">
      <c r="C5">
        <v>2026</v>
      </c>
      <c r="D5">
        <v>3</v>
      </c>
      <c r="E5" s="1">
        <v>700000</v>
      </c>
      <c r="F5" s="1">
        <v>700000</v>
      </c>
      <c r="G5" s="1">
        <f t="shared" ref="G5:G8" si="0">+E5-F5</f>
        <v>0</v>
      </c>
    </row>
    <row r="6" spans="2:11" x14ac:dyDescent="0.25">
      <c r="C6">
        <v>2026</v>
      </c>
      <c r="D6">
        <v>4</v>
      </c>
      <c r="E6" s="1">
        <v>700000</v>
      </c>
      <c r="F6" s="1">
        <v>700000</v>
      </c>
      <c r="G6" s="1">
        <f t="shared" si="0"/>
        <v>0</v>
      </c>
    </row>
    <row r="7" spans="2:11" x14ac:dyDescent="0.25">
      <c r="B7" t="s">
        <v>12</v>
      </c>
      <c r="C7">
        <v>2026</v>
      </c>
      <c r="D7">
        <v>5</v>
      </c>
      <c r="E7" s="1">
        <v>748951</v>
      </c>
      <c r="F7" s="1">
        <v>700000</v>
      </c>
      <c r="G7" s="1">
        <f t="shared" si="0"/>
        <v>48951</v>
      </c>
    </row>
    <row r="8" spans="2:11" x14ac:dyDescent="0.25">
      <c r="C8">
        <v>2026</v>
      </c>
      <c r="D8">
        <v>6</v>
      </c>
      <c r="E8" s="1">
        <v>748951</v>
      </c>
      <c r="F8" s="1">
        <v>748951</v>
      </c>
      <c r="G8" s="1">
        <f t="shared" si="0"/>
        <v>0</v>
      </c>
      <c r="I8" s="6">
        <v>140891.47</v>
      </c>
      <c r="K8" s="1">
        <f>+F8+I8</f>
        <v>889842.47</v>
      </c>
    </row>
    <row r="9" spans="2:11" x14ac:dyDescent="0.25">
      <c r="C9">
        <v>2026</v>
      </c>
      <c r="D9">
        <v>7</v>
      </c>
      <c r="E9" s="1">
        <v>748951</v>
      </c>
      <c r="F9" s="1">
        <f>+E9</f>
        <v>748951</v>
      </c>
      <c r="I9" s="6">
        <v>139957.26</v>
      </c>
      <c r="K9" s="1"/>
    </row>
    <row r="10" spans="2:11" x14ac:dyDescent="0.25">
      <c r="B10" t="s">
        <v>12</v>
      </c>
      <c r="C10">
        <v>2026</v>
      </c>
      <c r="D10">
        <v>8</v>
      </c>
      <c r="E10" s="1">
        <v>816084</v>
      </c>
      <c r="F10" s="1">
        <v>816084</v>
      </c>
      <c r="G10" s="1">
        <v>142865.96</v>
      </c>
      <c r="K10" s="1"/>
    </row>
    <row r="11" spans="2:11" x14ac:dyDescent="0.25">
      <c r="C11">
        <v>2026</v>
      </c>
      <c r="D11">
        <v>9</v>
      </c>
      <c r="E11" s="1">
        <v>816084</v>
      </c>
      <c r="I11" s="6">
        <v>142865.96</v>
      </c>
      <c r="K11" s="1">
        <f t="shared" ref="K11" si="1">+E11+I11</f>
        <v>958949.96</v>
      </c>
    </row>
    <row r="12" spans="2:11" x14ac:dyDescent="0.25">
      <c r="C12">
        <v>2026</v>
      </c>
      <c r="D12">
        <v>10</v>
      </c>
      <c r="E12" s="1">
        <v>816084</v>
      </c>
    </row>
    <row r="16" spans="2:11" x14ac:dyDescent="0.25">
      <c r="F16" s="4" t="s">
        <v>9</v>
      </c>
      <c r="G16" s="4" t="s">
        <v>8</v>
      </c>
    </row>
    <row r="17" spans="6:7" x14ac:dyDescent="0.25">
      <c r="F17" s="1" t="s">
        <v>7</v>
      </c>
      <c r="G17" s="1">
        <v>816084</v>
      </c>
    </row>
    <row r="18" spans="6:7" x14ac:dyDescent="0.25">
      <c r="F18" s="1" t="s">
        <v>5</v>
      </c>
      <c r="G18" s="1">
        <v>144457.26</v>
      </c>
    </row>
    <row r="20" spans="6:7" x14ac:dyDescent="0.25">
      <c r="F20" s="1" t="s">
        <v>10</v>
      </c>
      <c r="G20" s="1">
        <f>+G17+G18</f>
        <v>960541.26</v>
      </c>
    </row>
    <row r="22" spans="6:7" x14ac:dyDescent="0.25">
      <c r="F22" s="7" t="s">
        <v>11</v>
      </c>
      <c r="G22" s="7">
        <f>+G20/2</f>
        <v>480270.63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Maldonado</dc:creator>
  <cp:lastModifiedBy>Daniel Maldonado</cp:lastModifiedBy>
  <dcterms:created xsi:type="dcterms:W3CDTF">2015-06-05T18:19:34Z</dcterms:created>
  <dcterms:modified xsi:type="dcterms:W3CDTF">2026-10-08T12:35:25Z</dcterms:modified>
</cp:coreProperties>
</file>