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Modulo02_JavaScript\00000_Correcciones\Cohorte06_TP02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" i="1" l="1"/>
  <c r="T6" i="1"/>
  <c r="R6" i="1"/>
  <c r="P6" i="1"/>
  <c r="N6" i="1"/>
  <c r="M6" i="1"/>
  <c r="Q6" i="1" s="1"/>
  <c r="U6" i="1" s="1"/>
  <c r="L6" i="1"/>
  <c r="F6" i="1"/>
</calcChain>
</file>

<file path=xl/sharedStrings.xml><?xml version="1.0" encoding="utf-8"?>
<sst xmlns="http://schemas.openxmlformats.org/spreadsheetml/2006/main" count="15" uniqueCount="15">
  <si>
    <t>Valor Auto</t>
  </si>
  <si>
    <t>Entrega</t>
  </si>
  <si>
    <t>DIFERENCIA</t>
  </si>
  <si>
    <t>TASA1</t>
  </si>
  <si>
    <t>TASA2</t>
  </si>
  <si>
    <t>TASA</t>
  </si>
  <si>
    <t>INTERES 1</t>
  </si>
  <si>
    <t>INTERES 2</t>
  </si>
  <si>
    <t>INTERES 3</t>
  </si>
  <si>
    <t>SALDO 1</t>
  </si>
  <si>
    <t>SALDO 2</t>
  </si>
  <si>
    <t>SALDO 3</t>
  </si>
  <si>
    <t>CUOTA 1</t>
  </si>
  <si>
    <t>CUOTA 2</t>
  </si>
  <si>
    <t>CUOTA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</si>
</sst>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V6"/>
  <sheetViews>
    <sheetView tabSelected="1" topLeftCell="E1" workbookViewId="0">
      <selection activeCell="F14" sqref="F14"/>
    </sheetView>
  </sheetViews>
  <sheetFormatPr baseColWidth="10" defaultRowHeight="15" x14ac:dyDescent="0.25"/>
  <cols>
    <col min="4" max="4" width="14.140625" style="1" bestFit="1" customWidth="1"/>
    <col min="5" max="5" width="19" style="1" customWidth="1"/>
    <col min="6" max="6" width="18.7109375" customWidth="1"/>
    <col min="12" max="12" width="13.140625" style="2" bestFit="1" customWidth="1"/>
    <col min="13" max="13" width="20.5703125" style="2" customWidth="1"/>
    <col min="14" max="14" width="14.140625" style="2" bestFit="1" customWidth="1"/>
    <col min="16" max="18" width="12.7109375" bestFit="1" customWidth="1"/>
    <col min="20" max="21" width="11.7109375" style="2" bestFit="1" customWidth="1"/>
    <col min="22" max="22" width="13.140625" style="1" bestFit="1" customWidth="1"/>
  </cols>
  <sheetData>
    <row r="5" spans="4:22" x14ac:dyDescent="0.25">
      <c r="D5" s="1" t="s">
        <v>0</v>
      </c>
      <c r="E5" s="1" t="s">
        <v>1</v>
      </c>
      <c r="F5" t="s">
        <v>2</v>
      </c>
      <c r="H5" t="s">
        <v>3</v>
      </c>
      <c r="I5" t="s">
        <v>4</v>
      </c>
      <c r="J5" t="s">
        <v>5</v>
      </c>
      <c r="L5" s="2" t="s">
        <v>6</v>
      </c>
      <c r="M5" s="2" t="s">
        <v>7</v>
      </c>
      <c r="N5" s="2" t="s">
        <v>8</v>
      </c>
      <c r="P5" s="2" t="s">
        <v>9</v>
      </c>
      <c r="Q5" s="2" t="s">
        <v>10</v>
      </c>
      <c r="R5" s="2" t="s">
        <v>11</v>
      </c>
      <c r="T5" s="2" t="s">
        <v>12</v>
      </c>
      <c r="U5" s="2" t="s">
        <v>13</v>
      </c>
      <c r="V5" s="1" t="s">
        <v>14</v>
      </c>
    </row>
    <row r="6" spans="4:22" x14ac:dyDescent="0.25">
      <c r="D6" s="1">
        <v>65000000</v>
      </c>
      <c r="E6" s="1">
        <v>20000000</v>
      </c>
      <c r="F6" s="1">
        <f>+D6-E6</f>
        <v>45000000</v>
      </c>
      <c r="H6">
        <v>9.9</v>
      </c>
      <c r="I6" s="1">
        <v>44</v>
      </c>
      <c r="J6" s="1">
        <v>99</v>
      </c>
      <c r="L6" s="2">
        <f>+(F6*H6)/100</f>
        <v>4455000</v>
      </c>
      <c r="M6" s="2">
        <f>+F6*I6/100</f>
        <v>19800000</v>
      </c>
      <c r="N6" s="2">
        <f>+F6*J6/100</f>
        <v>44550000</v>
      </c>
      <c r="P6" s="2">
        <f>+F6+L6</f>
        <v>49455000</v>
      </c>
      <c r="Q6" s="2">
        <f>+F6+M6</f>
        <v>64800000</v>
      </c>
      <c r="R6" s="2">
        <f>+F6+N6</f>
        <v>89550000</v>
      </c>
      <c r="T6" s="2">
        <f>+P6/12</f>
        <v>4121250</v>
      </c>
      <c r="U6" s="2">
        <f>+Q6/24</f>
        <v>2700000</v>
      </c>
      <c r="V6" s="1">
        <f>+R6/36</f>
        <v>2487500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2026-04-20T23:10:01Z</dcterms:created>
  <dcterms:modified xsi:type="dcterms:W3CDTF">2026-04-20T23:50:59Z</dcterms:modified>
</cp:coreProperties>
</file>